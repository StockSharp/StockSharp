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Positions" sheetId="6" state="visible" r:id="rId6"/>
    <sheet xmlns:r="http://schemas.openxmlformats.org/officeDocument/2006/relationships" name="Stats" sheetId="7" state="visible" r:id="rId7"/>
  </sheets>
  <definedNames>
    <definedName name="rng_params">Params!$A$2:$B$20</definedName>
    <definedName name="rng_equity_data">Equity!$A$2:$C$10001</definedName>
    <definedName name="rng_trades_data">Trades!$A$2:$H$10001</definedName>
    <definedName name="rng_monthly_data">Stats!$A$4:$D$500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yyyy-mm-dd hh:mm:ss"/>
    <numFmt numFmtId="167" formatCode="0.########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404040"/>
    </font>
    <font>
      <color rgb="000000FF"/>
    </font>
    <font>
      <b val="1"/>
      <color rgb="00FFFFFF"/>
    </font>
    <font>
      <b val="1"/>
      <color rgb="001F4E79"/>
      <sz val="14"/>
    </font>
    <font>
      <b val="1"/>
      <color rgb="001F4E79"/>
      <sz val="20"/>
    </font>
    <font>
      <b val="1"/>
      <color rgb="00000000"/>
      <sz val="14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4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40" fontId="0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'Equity'!$A$2:$A$10001</f>
            </numRef>
          </cat>
          <val>
            <numRef>
              <f>'Equity'!$B$2:$B$10001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'Equity'!$A$2:$A$10001</f>
            </numRef>
          </cat>
          <val>
            <numRef>
              <f>'Equity'!$C$2:$C$10001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Returns</a:t>
            </a:r>
          </a:p>
        </rich>
      </tx>
    </title>
    <plotArea>
      <lineChart>
        <grouping val="standard"/>
        <ser>
          <idx val="0"/>
          <order val="0"/>
          <tx>
            <strRef>
              <f>'Stats'!C3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'Stats'!$C$4:$C$500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tParamsTable" displayName="StatParamsTable" ref="A15:B16" headerRowCount="1">
  <autoFilter ref="A15:B16"/>
  <tableColumns count="2">
    <tableColumn id="1" name="Name"/>
    <tableColumn id="2" name="Value"/>
  </tableColumns>
  <tableStyleInfo name="TableStyleMedium9" showRowStripes="1"/>
</table>
</file>

<file path=xl/tables/table2.xml><?xml version="1.0" encoding="utf-8"?>
<table xmlns="http://schemas.openxmlformats.org/spreadsheetml/2006/main" id="2" name="ParamsTable" displayName="ParamsTable" ref="D15:E16" headerRowCount="1">
  <autoFilter ref="D15:E16"/>
  <tableColumns count="2">
    <tableColumn id="4" name="Name"/>
    <tableColumn id="5" name="Value"/>
  </tableColumns>
  <tableStyleInfo name="TableStyleMedium9" showRowStripes="1"/>
</table>
</file>

<file path=xl/tables/table3.xml><?xml version="1.0" encoding="utf-8"?>
<table xmlns="http://schemas.openxmlformats.org/spreadsheetml/2006/main" id="3" name="EquityTable" displayName="EquityTable" ref="A1:C2" headerRowCount="1">
  <autoFilter ref="A1:C2"/>
  <tableColumns count="3">
    <tableColumn id="1" name="Date"/>
    <tableColumn id="2" name="Equity"/>
    <tableColumn id="3" name="Drawdown"/>
  </tableColumns>
  <tableStyleInfo name="TableStyleMedium9" showRowStripes="1"/>
</table>
</file>

<file path=xl/tables/table4.xml><?xml version="1.0" encoding="utf-8"?>
<table xmlns="http://schemas.openxmlformats.org/spreadsheetml/2006/main" id="4" name="TradesTable" displayName="TradesTable" ref="A1:I2" headerRowCount="1">
  <autoFilter ref="A1:I2"/>
  <tableColumns count="9">
    <tableColumn id="1" name="TradeId"/>
    <tableColumn id="2" name="Time"/>
    <tableColumn id="3" name="Security"/>
    <tableColumn id="4" name="Side"/>
    <tableColumn id="5" name="Volume"/>
    <tableColumn id="6" name="Price"/>
    <tableColumn id="7" name="PnL"/>
    <tableColumn id="8" name="Slippage"/>
    <tableColumn id="9" name="TotalPnL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OrdersTable" displayName="OrdersTable" ref="A1:J2" headerRowCount="1">
  <autoFilter ref="A1:J2"/>
  <tableColumns count="10">
    <tableColumn id="1" name="OrderId"/>
    <tableColumn id="2" name="TransactionId"/>
    <tableColumn id="3" name="Security"/>
    <tableColumn id="4" name="Side"/>
    <tableColumn id="5" name="Time"/>
    <tableColumn id="6" name="Price"/>
    <tableColumn id="7" name="State"/>
    <tableColumn id="8" name="Balance"/>
    <tableColumn id="9" name="Volume"/>
    <tableColumn id="10" name="Typ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PositionsTable" displayName="PositionsTable" ref="A1:G2" headerRowCount="1">
  <autoFilter ref="A1:G2"/>
  <tableColumns count="7">
    <tableColumn id="1" name="Security"/>
    <tableColumn id="2" name="Portfolio"/>
    <tableColumn id="3" name="OpenTime"/>
    <tableColumn id="4" name="OpenPrice"/>
    <tableColumn id="5" name="CloseTime"/>
    <tableColumn id="6" name="ClosePrice"/>
    <tableColumn id="7" name="MaxPositio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0" customHeight="1">
      <c r="A1" s="1" t="inlineStr">
        <is>
          <t>Strategy Report</t>
        </is>
      </c>
    </row>
    <row r="4">
      <c r="A4" s="2" t="inlineStr">
        <is>
          <t>Strategy</t>
        </is>
      </c>
      <c r="B4" s="3">
        <f>Params!B2</f>
        <v/>
      </c>
    </row>
    <row r="5">
      <c r="A5" s="2" t="inlineStr">
        <is>
          <t>Run Date</t>
        </is>
      </c>
      <c r="B5" s="3">
        <f>Params!B3</f>
        <v/>
      </c>
    </row>
    <row r="6">
      <c r="A6" s="2" t="inlineStr">
        <is>
          <t>Net PnL</t>
        </is>
      </c>
      <c r="B6" s="4">
        <f>IFERROR(LOOKUP(9.99999999999999E+307,Equity!B:B)-Params!B6,0)</f>
        <v/>
      </c>
    </row>
    <row r="7">
      <c r="A7" s="2" t="inlineStr">
        <is>
          <t>Max Drawdown</t>
        </is>
      </c>
      <c r="B7" s="5">
        <f>IFERROR(MIN(Equity!C2:C10001),0)</f>
        <v/>
      </c>
    </row>
    <row r="8">
      <c r="A8" s="2" t="inlineStr">
        <is>
          <t>Sharpe (placeholder)</t>
        </is>
      </c>
      <c r="B8" s="3">
        <f>Params!B10</f>
        <v/>
      </c>
    </row>
    <row r="9">
      <c r="A9" s="2" t="inlineStr">
        <is>
          <t>Win Rate</t>
        </is>
      </c>
      <c r="B9" s="5">
        <f>IFERROR(COUNTIF(Trades!G2:G10001,"&gt;0")/MAX(COUNT(Trades!G2:G10001),1),0)</f>
        <v/>
      </c>
    </row>
    <row r="10">
      <c r="A10" s="2" t="inlineStr">
        <is>
          <t>Trades</t>
        </is>
      </c>
      <c r="B10" s="3">
        <f>COUNT(Trades!G2:G10001)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6" customWidth="1" min="4" max="4"/>
    <col width="20" customWidth="1" min="5" max="5"/>
  </cols>
  <sheetData>
    <row r="1" ht="26" customHeight="1">
      <c r="A1" s="6" t="inlineStr">
        <is>
          <t>Parameters</t>
        </is>
      </c>
    </row>
    <row r="2">
      <c r="A2" s="7" t="inlineStr">
        <is>
          <t>Strategy Name</t>
        </is>
      </c>
      <c r="B2" s="8" t="inlineStr"/>
    </row>
    <row r="3">
      <c r="A3" s="7" t="inlineStr">
        <is>
          <t>Run Date</t>
        </is>
      </c>
      <c r="B3" s="8" t="inlineStr"/>
    </row>
    <row r="4">
      <c r="A4" s="7" t="inlineStr">
        <is>
          <t>Symbol</t>
        </is>
      </c>
      <c r="B4" s="8" t="inlineStr"/>
    </row>
    <row r="5">
      <c r="A5" s="7" t="inlineStr">
        <is>
          <t>Timeframe</t>
        </is>
      </c>
      <c r="B5" s="8" t="inlineStr"/>
    </row>
    <row r="6">
      <c r="A6" s="7" t="inlineStr">
        <is>
          <t>Initial Capital</t>
        </is>
      </c>
      <c r="B6" s="9" t="n">
        <v>100000</v>
      </c>
    </row>
    <row r="7">
      <c r="A7" s="7" t="inlineStr">
        <is>
          <t>Currency</t>
        </is>
      </c>
      <c r="B7" s="8" t="inlineStr">
        <is>
          <t>USD</t>
        </is>
      </c>
    </row>
    <row r="8">
      <c r="A8" s="7" t="inlineStr">
        <is>
          <t>Commission (per trade)</t>
        </is>
      </c>
      <c r="B8" s="8" t="n">
        <v>0</v>
      </c>
    </row>
    <row r="9">
      <c r="A9" s="7" t="inlineStr">
        <is>
          <t>Slippage (per trade)</t>
        </is>
      </c>
      <c r="B9" s="10" t="n">
        <v>0</v>
      </c>
    </row>
    <row r="10">
      <c r="A10" s="7" t="inlineStr">
        <is>
          <t>Risk-free rate (annual)</t>
        </is>
      </c>
      <c r="B10" s="8" t="n">
        <v>0</v>
      </c>
    </row>
    <row r="11">
      <c r="A11" s="7" t="inlineStr">
        <is>
          <t>Sharpe</t>
        </is>
      </c>
      <c r="B11" s="8" t="inlineStr"/>
    </row>
    <row r="14">
      <c r="A14" s="15" t="inlineStr">
        <is>
          <t>StatisticParameters</t>
        </is>
      </c>
      <c r="D14" s="15" t="inlineStr">
        <is>
          <t>Parameters</t>
        </is>
      </c>
    </row>
    <row r="15">
      <c r="A15" s="11" t="inlineStr">
        <is>
          <t>Name</t>
        </is>
      </c>
      <c r="B15" s="11" t="inlineStr">
        <is>
          <t>Value</t>
        </is>
      </c>
      <c r="D15" s="11" t="inlineStr">
        <is>
          <t>Name</t>
        </is>
      </c>
      <c r="E15" s="11" t="inlineStr">
        <is>
          <t>Value</t>
        </is>
      </c>
    </row>
  </sheetData>
  <mergeCells count="1">
    <mergeCell ref="A1:D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 ht="22" customHeight="1">
      <c r="A1" s="11" t="inlineStr">
        <is>
          <t>Date</t>
        </is>
      </c>
      <c r="B1" s="11" t="inlineStr">
        <is>
          <t>Equity</t>
        </is>
      </c>
      <c r="C1" s="11" t="inlineStr">
        <is>
          <t>Drawdown</t>
        </is>
      </c>
    </row>
    <row r="2">
      <c r="A2" s="22" t="n"/>
      <c r="B2" s="17" t="n"/>
      <c r="C2" s="12" t="n"/>
    </row>
  </sheetData>
  <conditionalFormatting sqref="C2:C10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1" t="inlineStr">
        <is>
          <t>TradeId</t>
        </is>
      </c>
      <c r="B1" s="11" t="inlineStr">
        <is>
          <t>Time</t>
        </is>
      </c>
      <c r="C1" s="11" t="inlineStr">
        <is>
          <t>Security</t>
        </is>
      </c>
      <c r="D1" s="11" t="inlineStr">
        <is>
          <t>Side</t>
        </is>
      </c>
      <c r="E1" s="11" t="inlineStr">
        <is>
          <t>Volume</t>
        </is>
      </c>
      <c r="F1" s="11" t="inlineStr">
        <is>
          <t>Price</t>
        </is>
      </c>
      <c r="G1" s="11" t="inlineStr">
        <is>
          <t>PnL</t>
        </is>
      </c>
      <c r="H1" s="11" t="inlineStr">
        <is>
          <t>Slippage</t>
        </is>
      </c>
      <c r="I1" s="11" t="inlineStr">
        <is>
          <t>TotalPnL</t>
        </is>
      </c>
      <c r="J1" s="11" t="inlineStr">
        <is>
          <t>Position</t>
        </is>
      </c>
    </row>
    <row r="2">
      <c r="A2" s="18" t="n"/>
      <c r="B2" s="23" t="n"/>
      <c r="C2" s="20" t="n"/>
      <c r="D2" s="20" t="n"/>
      <c r="E2" s="24" t="n"/>
      <c r="F2" s="17" t="n"/>
      <c r="G2" s="13" t="n"/>
      <c r="H2" s="17" t="n"/>
      <c r="I2" s="13" t="n"/>
    </row>
  </sheetData>
  <conditionalFormatting sqref="G2:G1000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00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22" customHeight="1">
      <c r="A1" s="11" t="inlineStr">
        <is>
          <t>OrderId</t>
        </is>
      </c>
      <c r="B1" s="11" t="inlineStr">
        <is>
          <t>TransactionId</t>
        </is>
      </c>
      <c r="C1" s="11" t="inlineStr">
        <is>
          <t>Security</t>
        </is>
      </c>
      <c r="D1" s="11" t="inlineStr">
        <is>
          <t>Side</t>
        </is>
      </c>
      <c r="E1" s="11" t="inlineStr">
        <is>
          <t>Time</t>
        </is>
      </c>
      <c r="F1" s="11" t="inlineStr">
        <is>
          <t>Price</t>
        </is>
      </c>
      <c r="G1" s="11" t="inlineStr">
        <is>
          <t>State</t>
        </is>
      </c>
      <c r="H1" s="11" t="inlineStr">
        <is>
          <t>Balance</t>
        </is>
      </c>
      <c r="I1" s="11" t="inlineStr">
        <is>
          <t>Volume</t>
        </is>
      </c>
      <c r="J1" s="11" t="inlineStr">
        <is>
          <t>Type</t>
        </is>
      </c>
    </row>
    <row r="2">
      <c r="A2" s="18" t="n"/>
      <c r="B2" s="18" t="n"/>
      <c r="C2" s="20" t="n"/>
      <c r="D2" s="20" t="n"/>
      <c r="E2" s="23" t="n"/>
      <c r="F2" s="17" t="n"/>
      <c r="G2" s="20" t="n"/>
      <c r="H2" s="24" t="n"/>
      <c r="I2" s="24" t="n"/>
      <c r="J2" s="20" t="n"/>
    </row>
  </sheetData>
  <conditionalFormatting sqref="H2:H100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</cols>
  <sheetData>
    <row r="1" ht="22" customHeight="1">
      <c r="A1" s="11" t="inlineStr">
        <is>
          <t>Security</t>
        </is>
      </c>
      <c r="B1" s="11" t="inlineStr">
        <is>
          <t>Portfolio</t>
        </is>
      </c>
      <c r="C1" s="11" t="inlineStr">
        <is>
          <t>OpenTime</t>
        </is>
      </c>
      <c r="D1" s="11" t="inlineStr">
        <is>
          <t>OpenPrice</t>
        </is>
      </c>
      <c r="E1" s="11" t="inlineStr">
        <is>
          <t>CloseTime</t>
        </is>
      </c>
      <c r="F1" s="11" t="inlineStr">
        <is>
          <t>ClosePrice</t>
        </is>
      </c>
      <c r="G1" s="11" t="inlineStr">
        <is>
          <t>MaxPosition</t>
        </is>
      </c>
    </row>
    <row r="2">
      <c r="A2" s="20" t="n"/>
      <c r="B2" s="20" t="n"/>
      <c r="C2" s="23" t="n"/>
      <c r="D2" s="17" t="n"/>
      <c r="E2" s="23" t="n"/>
      <c r="F2" s="17" t="n"/>
      <c r="G2" s="24" t="n"/>
    </row>
  </sheetData>
  <conditionalFormatting sqref="G2:G10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24" customHeight="1">
      <c r="A1" s="14" t="inlineStr">
        <is>
          <t>Monthly Returns (generator fills Year/Month/Return)</t>
        </is>
      </c>
    </row>
    <row r="3" ht="22" customHeight="1">
      <c r="A3" s="11" t="inlineStr">
        <is>
          <t>Year</t>
        </is>
      </c>
      <c r="B3" s="11" t="inlineStr">
        <is>
          <t>Month</t>
        </is>
      </c>
      <c r="C3" s="11" t="inlineStr">
        <is>
          <t>Return</t>
        </is>
      </c>
      <c r="D3" s="11" t="inlineStr">
        <is>
          <t>Cumulative</t>
        </is>
      </c>
    </row>
    <row r="4">
      <c r="C4" s="12" t="n"/>
      <c r="D4" s="12">
        <f>IF(C4="","",SUM($C$4:C4))</f>
        <v/>
      </c>
    </row>
  </sheetData>
  <mergeCells count="1">
    <mergeCell ref="A1:F1"/>
  </mergeCells>
  <conditionalFormatting sqref="C4:C5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2025-12-27T15:06:03Z</dcterms:created>
  <dcterms:modified xmlns:dcterms="http://purl.org/dc/terms/" xmlns:xsi="http://www.w3.org/2001/XMLSchema-instance" xsi:type="dcterms:W3CDTF">2026-02-01T16:37:15Z</dcterms:modified>
</cp:coreProperties>
</file>